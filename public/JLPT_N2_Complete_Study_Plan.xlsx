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46960\Documents\U46960\documents\個人用\"/>
    </mc:Choice>
  </mc:AlternateContent>
  <xr:revisionPtr revIDLastSave="0" documentId="13_ncr:1_{48DED929-B8B8-43AB-8650-F01A14FF12B1}" xr6:coauthVersionLast="47" xr6:coauthVersionMax="47" xr10:uidLastSave="{00000000-0000-0000-0000-000000000000}"/>
  <bookViews>
    <workbookView xWindow="-108" yWindow="-108" windowWidth="23256" windowHeight="14856" activeTab="3" xr2:uid="{00000000-000D-0000-FFFF-FFFF00000000}"/>
  </bookViews>
  <sheets>
    <sheet name="StudyPlan" sheetId="1" r:id="rId1"/>
    <sheet name="Vocabulary" sheetId="2" r:id="rId2"/>
    <sheet name="Grammar" sheetId="3" r:id="rId3"/>
    <sheet name="Progres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B13" i="4"/>
  <c r="B12" i="4"/>
  <c r="B8" i="4"/>
  <c r="B9" i="4"/>
  <c r="B11" i="4"/>
  <c r="B10" i="4"/>
  <c r="B7" i="4"/>
  <c r="B6" i="4"/>
  <c r="B5" i="4"/>
  <c r="B4" i="4"/>
  <c r="B2" i="4"/>
  <c r="H2" i="1"/>
  <c r="I6" i="2"/>
  <c r="H6" i="2"/>
  <c r="G6" i="2"/>
  <c r="I5" i="2"/>
  <c r="H5" i="2"/>
  <c r="G5" i="2"/>
  <c r="I4" i="2"/>
  <c r="H4" i="2"/>
  <c r="G4" i="2"/>
  <c r="I3" i="2"/>
  <c r="H3" i="2"/>
  <c r="G3" i="2"/>
  <c r="I2" i="2"/>
  <c r="H2" i="2"/>
  <c r="G2" i="2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B3" i="4" l="1"/>
</calcChain>
</file>

<file path=xl/sharedStrings.xml><?xml version="1.0" encoding="utf-8"?>
<sst xmlns="http://schemas.openxmlformats.org/spreadsheetml/2006/main" count="443" uniqueCount="83">
  <si>
    <t>Date</t>
  </si>
  <si>
    <t>Day</t>
  </si>
  <si>
    <t>Focus</t>
  </si>
  <si>
    <t>Vocab IDs</t>
  </si>
  <si>
    <t>Grammar IDs</t>
  </si>
  <si>
    <t>Study Time (min)</t>
  </si>
  <si>
    <t>Completion %</t>
  </si>
  <si>
    <t>Notes</t>
  </si>
  <si>
    <t>Monday</t>
  </si>
  <si>
    <t>Vocab + Grammar</t>
  </si>
  <si>
    <t>V001–V015</t>
  </si>
  <si>
    <t>G001–G002</t>
  </si>
  <si>
    <t>Tuesday</t>
  </si>
  <si>
    <t>Wednesday</t>
  </si>
  <si>
    <t>Thursday</t>
  </si>
  <si>
    <t>Friday</t>
  </si>
  <si>
    <t>Saturday</t>
  </si>
  <si>
    <t>Sunday</t>
  </si>
  <si>
    <t>Vocab ID</t>
  </si>
  <si>
    <t>Word</t>
  </si>
  <si>
    <t>Pronunciation</t>
  </si>
  <si>
    <t>Meaning</t>
  </si>
  <si>
    <t>Example</t>
  </si>
  <si>
    <t>Review D+1</t>
  </si>
  <si>
    <t>Review D+7</t>
  </si>
  <si>
    <t>Review D+14</t>
  </si>
  <si>
    <t>V001</t>
  </si>
  <si>
    <t>判断</t>
  </si>
  <si>
    <t>はんだん</t>
  </si>
  <si>
    <t>judgment</t>
  </si>
  <si>
    <t>状況を判断する</t>
  </si>
  <si>
    <t>V002</t>
  </si>
  <si>
    <t>実施</t>
  </si>
  <si>
    <t>じっし</t>
  </si>
  <si>
    <t>implementation</t>
  </si>
  <si>
    <t>計画を実施する</t>
  </si>
  <si>
    <t>V003</t>
  </si>
  <si>
    <t>対応</t>
  </si>
  <si>
    <t>たいおう</t>
  </si>
  <si>
    <t>response</t>
  </si>
  <si>
    <t>問題に対応する</t>
  </si>
  <si>
    <t>V004</t>
  </si>
  <si>
    <t>影響</t>
  </si>
  <si>
    <t>えいきょう</t>
  </si>
  <si>
    <t>influence</t>
  </si>
  <si>
    <t>影響を受ける</t>
  </si>
  <si>
    <t>V005</t>
  </si>
  <si>
    <t>改善</t>
  </si>
  <si>
    <t>かいぜん</t>
  </si>
  <si>
    <t>improvement</t>
  </si>
  <si>
    <t>改善が必要</t>
  </si>
  <si>
    <t>Grammar ID</t>
  </si>
  <si>
    <t>Pattern</t>
  </si>
  <si>
    <t>Mastered (✔)</t>
  </si>
  <si>
    <t>G001</t>
  </si>
  <si>
    <t>～に違いない</t>
  </si>
  <si>
    <t>must be</t>
  </si>
  <si>
    <t>彼は忙しいに違いない</t>
  </si>
  <si>
    <t>G002</t>
  </si>
  <si>
    <t>～わけではない</t>
  </si>
  <si>
    <t>not necessarily</t>
  </si>
  <si>
    <t>嫌いなわけではない</t>
  </si>
  <si>
    <t>G003</t>
  </si>
  <si>
    <t>～ことになる</t>
  </si>
  <si>
    <t>it is decided</t>
  </si>
  <si>
    <t>行くことになった</t>
  </si>
  <si>
    <t>Week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</si>
  <si>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</si>
  <si>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</si>
  <si>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</si>
  <si>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</si>
  <si>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</si>
  <si>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</si>
  <si>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</si>
  <si>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</si>
  <si>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</si>
  <si>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</si>
  <si>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</si>
  <si>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</si>
  <si>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</si>
  <si>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Completed (✔)</t>
    <phoneticPr fontId="1"/>
  </si>
  <si>
    <t>✔</t>
    <phoneticPr fontId="1"/>
  </si>
  <si>
    <t>Learned (✔)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</si>
</sst>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Progress JLPT N2</a:t>
            </a:r>
          </a:p>
        </c:rich>
      </c:tx>
      <c:layout>
        <c:manualLayout>
          <c:xMode val="edge"/>
          <c:yMode val="edge"/>
          <c:x val="0.40841615158929878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Progress!$B$1</c:f>
              <c:strCache>
                <c:ptCount val="1"/>
                <c:pt idx="0">
                  <c:v>Completion %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98D3-4586-B9FE-C916175BAD80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2225" cap="rnd">
                <a:solidFill>
                  <a:schemeClr val="accent2"/>
                </a:solidFill>
              </a:ln>
              <a:effectLst>
                <a:glow rad="139700">
                  <a:schemeClr val="accent2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98D3-4586-B9FE-C916175BAD80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2225" cap="rnd">
                <a:solidFill>
                  <a:schemeClr val="accent3"/>
                </a:solidFill>
              </a:ln>
              <a:effectLst>
                <a:glow rad="139700">
                  <a:schemeClr val="accent3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98D3-4586-B9FE-C916175BAD80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</a:ln>
              <a:effectLst>
                <a:glow rad="139700">
                  <a:schemeClr val="accent4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98D3-4586-B9FE-C916175BAD80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2225" cap="rnd">
                <a:solidFill>
                  <a:schemeClr val="accent5"/>
                </a:solidFill>
              </a:ln>
              <a:effectLst>
                <a:glow rad="139700">
                  <a:schemeClr val="accent5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98D3-4586-B9FE-C916175BAD80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2225" cap="rnd">
                <a:solidFill>
                  <a:schemeClr val="accent6"/>
                </a:solidFill>
              </a:ln>
              <a:effectLst>
                <a:glow rad="139700">
                  <a:schemeClr val="accent6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B-98D3-4586-B9FE-C916175BAD80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2225" cap="rnd">
                <a:solidFill>
                  <a:schemeClr val="accent1">
                    <a:lumMod val="60000"/>
                  </a:schemeClr>
                </a:solidFill>
              </a:ln>
              <a:effectLst>
                <a:glow rad="139700">
                  <a:schemeClr val="accent1">
                    <a:lumMod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D-98D3-4586-B9FE-C916175BAD80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2225" cap="rnd">
                <a:solidFill>
                  <a:schemeClr val="accent2">
                    <a:lumMod val="60000"/>
                  </a:schemeClr>
                </a:solidFill>
              </a:ln>
              <a:effectLst>
                <a:glow rad="139700">
                  <a:schemeClr val="accent2">
                    <a:lumMod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F-98D3-4586-B9FE-C916175BAD80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2225" cap="rnd">
                <a:solidFill>
                  <a:schemeClr val="accent3">
                    <a:lumMod val="60000"/>
                  </a:schemeClr>
                </a:solidFill>
              </a:ln>
              <a:effectLst>
                <a:glow rad="139700">
                  <a:schemeClr val="accent3">
                    <a:lumMod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1-98D3-4586-B9FE-C916175BAD80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2225" cap="rnd">
                <a:solidFill>
                  <a:schemeClr val="accent4">
                    <a:lumMod val="60000"/>
                  </a:schemeClr>
                </a:solidFill>
              </a:ln>
              <a:effectLst>
                <a:glow rad="139700">
                  <a:schemeClr val="accent4">
                    <a:lumMod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3-98D3-4586-B9FE-C916175BAD80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2225" cap="rnd">
                <a:solidFill>
                  <a:schemeClr val="accent5">
                    <a:lumMod val="60000"/>
                  </a:schemeClr>
                </a:solidFill>
              </a:ln>
              <a:effectLst>
                <a:glow rad="139700">
                  <a:schemeClr val="accent5">
                    <a:lumMod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5-98D3-4586-B9FE-C916175BAD80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2225" cap="rnd">
                <a:solidFill>
                  <a:schemeClr val="accent6">
                    <a:lumMod val="60000"/>
                  </a:schemeClr>
                </a:solidFill>
              </a:ln>
              <a:effectLst>
                <a:glow rad="139700">
                  <a:schemeClr val="accent6">
                    <a:lumMod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7-98D3-4586-B9FE-C916175BAD80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2225" cap="rnd">
                <a:solidFill>
                  <a:schemeClr val="accent1">
                    <a:lumMod val="80000"/>
                    <a:lumOff val="20000"/>
                  </a:schemeClr>
                </a:solidFill>
              </a:ln>
              <a:effectLst>
                <a:glow rad="139700">
                  <a:schemeClr val="accent1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9-98D3-4586-B9FE-C916175BAD80}"/>
              </c:ext>
            </c:extLst>
          </c:dPt>
          <c:cat>
            <c:strRef>
              <c:f>Progress!$A$2:$A$14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Progress!$B$2:$B$14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E1-4CD9-8F69-2E435632E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Completion %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3681885125184091E-2"/>
          <c:y val="4.4814340588988477E-2"/>
          <c:w val="0.9"/>
          <c:h val="3.601177573673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0347960" cy="59512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workbookViewId="0"/>
  </sheetViews>
  <sheetFormatPr defaultRowHeight="13.2" x14ac:dyDescent="0.2"/>
  <cols>
    <col min="1" max="1" width="11.6640625" bestFit="1" customWidth="1"/>
    <col min="2" max="2" width="11" bestFit="1" customWidth="1"/>
    <col min="3" max="3" width="17.109375" bestFit="1" customWidth="1"/>
    <col min="4" max="4" width="11.109375" bestFit="1" customWidth="1"/>
    <col min="5" max="5" width="12.554687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80</v>
      </c>
      <c r="H1" t="s">
        <v>6</v>
      </c>
      <c r="I1" t="s">
        <v>7</v>
      </c>
    </row>
    <row r="2" spans="1:9" x14ac:dyDescent="0.2">
      <c r="A2" s="1">
        <v>46125</v>
      </c>
      <c r="B2" t="s">
        <v>8</v>
      </c>
      <c r="C2" t="s">
        <v>9</v>
      </c>
      <c r="D2" t="s">
        <v>10</v>
      </c>
      <c r="E2" t="s">
        <v>11</v>
      </c>
      <c r="H2">
        <f>IF(G2="✔",100,0)</f>
        <v>0</v>
      </c>
    </row>
    <row r="3" spans="1:9" x14ac:dyDescent="0.2">
      <c r="A3" s="1">
        <v>46126</v>
      </c>
      <c r="B3" t="s">
        <v>12</v>
      </c>
      <c r="C3" t="s">
        <v>9</v>
      </c>
      <c r="D3" t="s">
        <v>10</v>
      </c>
      <c r="E3" t="s">
        <v>11</v>
      </c>
      <c r="H3">
        <f t="shared" ref="H3:H33" si="0">IF(G3="✔",100,0)</f>
        <v>0</v>
      </c>
    </row>
    <row r="4" spans="1:9" x14ac:dyDescent="0.2">
      <c r="A4" s="1">
        <v>46127</v>
      </c>
      <c r="B4" t="s">
        <v>13</v>
      </c>
      <c r="C4" t="s">
        <v>9</v>
      </c>
      <c r="D4" t="s">
        <v>10</v>
      </c>
      <c r="E4" t="s">
        <v>11</v>
      </c>
      <c r="H4">
        <f t="shared" si="0"/>
        <v>0</v>
      </c>
    </row>
    <row r="5" spans="1:9" x14ac:dyDescent="0.2">
      <c r="A5" s="1">
        <v>46128</v>
      </c>
      <c r="B5" t="s">
        <v>14</v>
      </c>
      <c r="C5" t="s">
        <v>9</v>
      </c>
      <c r="D5" t="s">
        <v>10</v>
      </c>
      <c r="E5" t="s">
        <v>11</v>
      </c>
      <c r="H5">
        <f t="shared" si="0"/>
        <v>0</v>
      </c>
    </row>
    <row r="6" spans="1:9" x14ac:dyDescent="0.2">
      <c r="A6" s="1">
        <v>46129</v>
      </c>
      <c r="B6" t="s">
        <v>15</v>
      </c>
      <c r="C6" t="s">
        <v>9</v>
      </c>
      <c r="D6" t="s">
        <v>10</v>
      </c>
      <c r="E6" t="s">
        <v>11</v>
      </c>
      <c r="H6">
        <f t="shared" si="0"/>
        <v>0</v>
      </c>
    </row>
    <row r="7" spans="1:9" x14ac:dyDescent="0.2">
      <c r="A7" s="1">
        <v>46130</v>
      </c>
      <c r="B7" t="s">
        <v>16</v>
      </c>
      <c r="C7" t="s">
        <v>9</v>
      </c>
      <c r="D7" t="s">
        <v>10</v>
      </c>
      <c r="E7" t="s">
        <v>11</v>
      </c>
      <c r="H7">
        <f t="shared" si="0"/>
        <v>0</v>
      </c>
    </row>
    <row r="8" spans="1:9" x14ac:dyDescent="0.2">
      <c r="A8" s="1">
        <v>46131</v>
      </c>
      <c r="B8" t="s">
        <v>17</v>
      </c>
      <c r="C8" t="s">
        <v>9</v>
      </c>
      <c r="D8" t="s">
        <v>10</v>
      </c>
      <c r="E8" t="s">
        <v>11</v>
      </c>
      <c r="H8">
        <f t="shared" si="0"/>
        <v>0</v>
      </c>
    </row>
    <row r="9" spans="1:9" x14ac:dyDescent="0.2">
      <c r="A9" s="1">
        <v>46132</v>
      </c>
      <c r="B9" t="s">
        <v>8</v>
      </c>
      <c r="C9" t="s">
        <v>9</v>
      </c>
      <c r="D9" t="s">
        <v>10</v>
      </c>
      <c r="E9" t="s">
        <v>11</v>
      </c>
      <c r="H9">
        <f t="shared" si="0"/>
        <v>0</v>
      </c>
    </row>
    <row r="10" spans="1:9" x14ac:dyDescent="0.2">
      <c r="A10" s="1">
        <v>46133</v>
      </c>
      <c r="B10" t="s">
        <v>12</v>
      </c>
      <c r="C10" t="s">
        <v>9</v>
      </c>
      <c r="D10" t="s">
        <v>10</v>
      </c>
      <c r="E10" t="s">
        <v>11</v>
      </c>
      <c r="H10">
        <f t="shared" si="0"/>
        <v>0</v>
      </c>
    </row>
    <row r="11" spans="1:9" x14ac:dyDescent="0.2">
      <c r="A11" s="1">
        <v>46134</v>
      </c>
      <c r="B11" t="s">
        <v>13</v>
      </c>
      <c r="C11" t="s">
        <v>9</v>
      </c>
      <c r="D11" t="s">
        <v>10</v>
      </c>
      <c r="E11" t="s">
        <v>11</v>
      </c>
      <c r="H11">
        <f t="shared" si="0"/>
        <v>0</v>
      </c>
    </row>
    <row r="12" spans="1:9" x14ac:dyDescent="0.2">
      <c r="A12" s="1">
        <v>46135</v>
      </c>
      <c r="B12" t="s">
        <v>14</v>
      </c>
      <c r="C12" t="s">
        <v>9</v>
      </c>
      <c r="D12" t="s">
        <v>10</v>
      </c>
      <c r="E12" t="s">
        <v>11</v>
      </c>
      <c r="H12">
        <f t="shared" si="0"/>
        <v>0</v>
      </c>
    </row>
    <row r="13" spans="1:9" x14ac:dyDescent="0.2">
      <c r="A13" s="1">
        <v>46136</v>
      </c>
      <c r="B13" t="s">
        <v>15</v>
      </c>
      <c r="C13" t="s">
        <v>9</v>
      </c>
      <c r="D13" t="s">
        <v>10</v>
      </c>
      <c r="E13" t="s">
        <v>11</v>
      </c>
      <c r="H13">
        <f t="shared" si="0"/>
        <v>0</v>
      </c>
    </row>
    <row r="14" spans="1:9" x14ac:dyDescent="0.2">
      <c r="A14" s="1">
        <v>46137</v>
      </c>
      <c r="B14" t="s">
        <v>16</v>
      </c>
      <c r="C14" t="s">
        <v>9</v>
      </c>
      <c r="D14" t="s">
        <v>10</v>
      </c>
      <c r="E14" t="s">
        <v>11</v>
      </c>
      <c r="H14">
        <f t="shared" si="0"/>
        <v>0</v>
      </c>
    </row>
    <row r="15" spans="1:9" x14ac:dyDescent="0.2">
      <c r="A15" s="1">
        <v>46138</v>
      </c>
      <c r="B15" t="s">
        <v>17</v>
      </c>
      <c r="C15" t="s">
        <v>9</v>
      </c>
      <c r="D15" t="s">
        <v>10</v>
      </c>
      <c r="E15" t="s">
        <v>11</v>
      </c>
      <c r="H15">
        <f t="shared" si="0"/>
        <v>0</v>
      </c>
    </row>
    <row r="16" spans="1:9" x14ac:dyDescent="0.2">
      <c r="A16" s="1">
        <v>46139</v>
      </c>
      <c r="B16" t="s">
        <v>8</v>
      </c>
      <c r="C16" t="s">
        <v>9</v>
      </c>
      <c r="D16" t="s">
        <v>10</v>
      </c>
      <c r="E16" t="s">
        <v>11</v>
      </c>
      <c r="H16">
        <f t="shared" si="0"/>
        <v>0</v>
      </c>
    </row>
    <row r="17" spans="1:8" x14ac:dyDescent="0.2">
      <c r="A17" s="1">
        <v>46140</v>
      </c>
      <c r="B17" t="s">
        <v>12</v>
      </c>
      <c r="C17" t="s">
        <v>9</v>
      </c>
      <c r="D17" t="s">
        <v>10</v>
      </c>
      <c r="E17" t="s">
        <v>11</v>
      </c>
      <c r="H17">
        <f t="shared" si="0"/>
        <v>0</v>
      </c>
    </row>
    <row r="18" spans="1:8" x14ac:dyDescent="0.2">
      <c r="A18" s="1">
        <v>46141</v>
      </c>
      <c r="B18" t="s">
        <v>13</v>
      </c>
      <c r="C18" t="s">
        <v>9</v>
      </c>
      <c r="D18" t="s">
        <v>10</v>
      </c>
      <c r="E18" t="s">
        <v>11</v>
      </c>
      <c r="H18">
        <f t="shared" si="0"/>
        <v>0</v>
      </c>
    </row>
    <row r="19" spans="1:8" x14ac:dyDescent="0.2">
      <c r="A19" s="1">
        <v>46142</v>
      </c>
      <c r="B19" t="s">
        <v>14</v>
      </c>
      <c r="C19" t="s">
        <v>9</v>
      </c>
      <c r="D19" t="s">
        <v>10</v>
      </c>
      <c r="E19" t="s">
        <v>11</v>
      </c>
      <c r="H19">
        <f t="shared" si="0"/>
        <v>0</v>
      </c>
    </row>
    <row r="20" spans="1:8" x14ac:dyDescent="0.2">
      <c r="A20" s="1">
        <v>46143</v>
      </c>
      <c r="B20" t="s">
        <v>15</v>
      </c>
      <c r="C20" t="s">
        <v>9</v>
      </c>
      <c r="D20" t="s">
        <v>10</v>
      </c>
      <c r="E20" t="s">
        <v>11</v>
      </c>
      <c r="H20">
        <f t="shared" si="0"/>
        <v>0</v>
      </c>
    </row>
    <row r="21" spans="1:8" x14ac:dyDescent="0.2">
      <c r="A21" s="1">
        <v>46144</v>
      </c>
      <c r="B21" t="s">
        <v>16</v>
      </c>
      <c r="C21" t="s">
        <v>9</v>
      </c>
      <c r="D21" t="s">
        <v>10</v>
      </c>
      <c r="E21" t="s">
        <v>11</v>
      </c>
      <c r="H21">
        <f t="shared" si="0"/>
        <v>0</v>
      </c>
    </row>
    <row r="22" spans="1:8" x14ac:dyDescent="0.2">
      <c r="A22" s="1">
        <v>46145</v>
      </c>
      <c r="B22" t="s">
        <v>17</v>
      </c>
      <c r="C22" t="s">
        <v>9</v>
      </c>
      <c r="D22" t="s">
        <v>10</v>
      </c>
      <c r="E22" t="s">
        <v>11</v>
      </c>
      <c r="H22">
        <f t="shared" si="0"/>
        <v>0</v>
      </c>
    </row>
    <row r="23" spans="1:8" x14ac:dyDescent="0.2">
      <c r="A23" s="1">
        <v>46146</v>
      </c>
      <c r="B23" t="s">
        <v>8</v>
      </c>
      <c r="C23" t="s">
        <v>9</v>
      </c>
      <c r="D23" t="s">
        <v>10</v>
      </c>
      <c r="E23" t="s">
        <v>11</v>
      </c>
      <c r="H23">
        <f t="shared" si="0"/>
        <v>0</v>
      </c>
    </row>
    <row r="24" spans="1:8" x14ac:dyDescent="0.2">
      <c r="A24" s="1">
        <v>46147</v>
      </c>
      <c r="B24" t="s">
        <v>12</v>
      </c>
      <c r="C24" t="s">
        <v>9</v>
      </c>
      <c r="D24" t="s">
        <v>10</v>
      </c>
      <c r="E24" t="s">
        <v>11</v>
      </c>
      <c r="H24">
        <f t="shared" si="0"/>
        <v>0</v>
      </c>
    </row>
    <row r="25" spans="1:8" x14ac:dyDescent="0.2">
      <c r="A25" s="1">
        <v>46148</v>
      </c>
      <c r="B25" t="s">
        <v>13</v>
      </c>
      <c r="C25" t="s">
        <v>9</v>
      </c>
      <c r="D25" t="s">
        <v>10</v>
      </c>
      <c r="E25" t="s">
        <v>11</v>
      </c>
      <c r="H25">
        <f t="shared" si="0"/>
        <v>0</v>
      </c>
    </row>
    <row r="26" spans="1:8" x14ac:dyDescent="0.2">
      <c r="A26" s="1">
        <v>46149</v>
      </c>
      <c r="B26" t="s">
        <v>14</v>
      </c>
      <c r="C26" t="s">
        <v>9</v>
      </c>
      <c r="D26" t="s">
        <v>10</v>
      </c>
      <c r="E26" t="s">
        <v>11</v>
      </c>
      <c r="H26">
        <f t="shared" si="0"/>
        <v>0</v>
      </c>
    </row>
    <row r="27" spans="1:8" x14ac:dyDescent="0.2">
      <c r="A27" s="1">
        <v>46150</v>
      </c>
      <c r="B27" t="s">
        <v>15</v>
      </c>
      <c r="C27" t="s">
        <v>9</v>
      </c>
      <c r="D27" t="s">
        <v>10</v>
      </c>
      <c r="E27" t="s">
        <v>11</v>
      </c>
      <c r="H27">
        <f t="shared" si="0"/>
        <v>0</v>
      </c>
    </row>
    <row r="28" spans="1:8" x14ac:dyDescent="0.2">
      <c r="A28" s="1">
        <v>46151</v>
      </c>
      <c r="B28" t="s">
        <v>16</v>
      </c>
      <c r="C28" t="s">
        <v>9</v>
      </c>
      <c r="D28" t="s">
        <v>10</v>
      </c>
      <c r="E28" t="s">
        <v>11</v>
      </c>
      <c r="H28">
        <f t="shared" si="0"/>
        <v>0</v>
      </c>
    </row>
    <row r="29" spans="1:8" x14ac:dyDescent="0.2">
      <c r="A29" s="1">
        <v>46152</v>
      </c>
      <c r="B29" t="s">
        <v>17</v>
      </c>
      <c r="C29" t="s">
        <v>9</v>
      </c>
      <c r="D29" t="s">
        <v>10</v>
      </c>
      <c r="E29" t="s">
        <v>11</v>
      </c>
      <c r="H29">
        <f t="shared" si="0"/>
        <v>0</v>
      </c>
    </row>
    <row r="30" spans="1:8" x14ac:dyDescent="0.2">
      <c r="A30" s="1">
        <v>46153</v>
      </c>
      <c r="B30" t="s">
        <v>8</v>
      </c>
      <c r="C30" t="s">
        <v>9</v>
      </c>
      <c r="D30" t="s">
        <v>10</v>
      </c>
      <c r="E30" t="s">
        <v>11</v>
      </c>
      <c r="H30">
        <f t="shared" si="0"/>
        <v>0</v>
      </c>
    </row>
    <row r="31" spans="1:8" x14ac:dyDescent="0.2">
      <c r="A31" s="1">
        <v>46154</v>
      </c>
      <c r="B31" t="s">
        <v>12</v>
      </c>
      <c r="C31" t="s">
        <v>9</v>
      </c>
      <c r="D31" t="s">
        <v>10</v>
      </c>
      <c r="E31" t="s">
        <v>11</v>
      </c>
      <c r="H31">
        <f t="shared" si="0"/>
        <v>0</v>
      </c>
    </row>
    <row r="32" spans="1:8" x14ac:dyDescent="0.2">
      <c r="A32" s="1">
        <v>46155</v>
      </c>
      <c r="B32" t="s">
        <v>13</v>
      </c>
      <c r="C32" t="s">
        <v>9</v>
      </c>
      <c r="D32" t="s">
        <v>10</v>
      </c>
      <c r="E32" t="s">
        <v>11</v>
      </c>
      <c r="H32">
        <f t="shared" si="0"/>
        <v>0</v>
      </c>
    </row>
    <row r="33" spans="1:8" x14ac:dyDescent="0.2">
      <c r="A33" s="1">
        <v>46156</v>
      </c>
      <c r="B33" t="s">
        <v>14</v>
      </c>
      <c r="C33" t="s">
        <v>9</v>
      </c>
      <c r="D33" t="s">
        <v>10</v>
      </c>
      <c r="E33" t="s">
        <v>11</v>
      </c>
      <c r="H33">
        <f t="shared" si="0"/>
        <v>0</v>
      </c>
    </row>
    <row r="34" spans="1:8" x14ac:dyDescent="0.2">
      <c r="A34" s="1">
        <v>46157</v>
      </c>
      <c r="B34" t="s">
        <v>15</v>
      </c>
      <c r="C34" t="s">
        <v>9</v>
      </c>
      <c r="D34" t="s">
        <v>10</v>
      </c>
      <c r="E34" t="s">
        <v>11</v>
      </c>
      <c r="H34">
        <f t="shared" ref="H34:H65" si="1">IF(G34="✔",100,0)</f>
        <v>0</v>
      </c>
    </row>
    <row r="35" spans="1:8" x14ac:dyDescent="0.2">
      <c r="A35" s="1">
        <v>46158</v>
      </c>
      <c r="B35" t="s">
        <v>16</v>
      </c>
      <c r="C35" t="s">
        <v>9</v>
      </c>
      <c r="D35" t="s">
        <v>10</v>
      </c>
      <c r="E35" t="s">
        <v>11</v>
      </c>
      <c r="H35">
        <f t="shared" si="1"/>
        <v>0</v>
      </c>
    </row>
    <row r="36" spans="1:8" x14ac:dyDescent="0.2">
      <c r="A36" s="1">
        <v>46159</v>
      </c>
      <c r="B36" t="s">
        <v>17</v>
      </c>
      <c r="C36" t="s">
        <v>9</v>
      </c>
      <c r="D36" t="s">
        <v>10</v>
      </c>
      <c r="E36" t="s">
        <v>11</v>
      </c>
      <c r="H36">
        <f t="shared" si="1"/>
        <v>0</v>
      </c>
    </row>
    <row r="37" spans="1:8" x14ac:dyDescent="0.2">
      <c r="A37" s="1">
        <v>46160</v>
      </c>
      <c r="B37" t="s">
        <v>8</v>
      </c>
      <c r="C37" t="s">
        <v>9</v>
      </c>
      <c r="D37" t="s">
        <v>10</v>
      </c>
      <c r="E37" t="s">
        <v>11</v>
      </c>
      <c r="H37">
        <f t="shared" si="1"/>
        <v>0</v>
      </c>
    </row>
    <row r="38" spans="1:8" x14ac:dyDescent="0.2">
      <c r="A38" s="1">
        <v>46161</v>
      </c>
      <c r="B38" t="s">
        <v>12</v>
      </c>
      <c r="C38" t="s">
        <v>9</v>
      </c>
      <c r="D38" t="s">
        <v>10</v>
      </c>
      <c r="E38" t="s">
        <v>11</v>
      </c>
      <c r="H38">
        <f t="shared" si="1"/>
        <v>0</v>
      </c>
    </row>
    <row r="39" spans="1:8" x14ac:dyDescent="0.2">
      <c r="A39" s="1">
        <v>46162</v>
      </c>
      <c r="B39" t="s">
        <v>13</v>
      </c>
      <c r="C39" t="s">
        <v>9</v>
      </c>
      <c r="D39" t="s">
        <v>10</v>
      </c>
      <c r="E39" t="s">
        <v>11</v>
      </c>
      <c r="H39">
        <f t="shared" si="1"/>
        <v>0</v>
      </c>
    </row>
    <row r="40" spans="1:8" x14ac:dyDescent="0.2">
      <c r="A40" s="1">
        <v>46163</v>
      </c>
      <c r="B40" t="s">
        <v>14</v>
      </c>
      <c r="C40" t="s">
        <v>9</v>
      </c>
      <c r="D40" t="s">
        <v>10</v>
      </c>
      <c r="E40" t="s">
        <v>11</v>
      </c>
      <c r="H40">
        <f t="shared" si="1"/>
        <v>0</v>
      </c>
    </row>
    <row r="41" spans="1:8" x14ac:dyDescent="0.2">
      <c r="A41" s="1">
        <v>46164</v>
      </c>
      <c r="B41" t="s">
        <v>15</v>
      </c>
      <c r="C41" t="s">
        <v>9</v>
      </c>
      <c r="D41" t="s">
        <v>10</v>
      </c>
      <c r="E41" t="s">
        <v>11</v>
      </c>
      <c r="H41">
        <f t="shared" si="1"/>
        <v>0</v>
      </c>
    </row>
    <row r="42" spans="1:8" x14ac:dyDescent="0.2">
      <c r="A42" s="1">
        <v>46165</v>
      </c>
      <c r="B42" t="s">
        <v>16</v>
      </c>
      <c r="C42" t="s">
        <v>9</v>
      </c>
      <c r="D42" t="s">
        <v>10</v>
      </c>
      <c r="E42" t="s">
        <v>11</v>
      </c>
      <c r="H42">
        <f t="shared" si="1"/>
        <v>0</v>
      </c>
    </row>
    <row r="43" spans="1:8" x14ac:dyDescent="0.2">
      <c r="A43" s="1">
        <v>46166</v>
      </c>
      <c r="B43" t="s">
        <v>17</v>
      </c>
      <c r="C43" t="s">
        <v>9</v>
      </c>
      <c r="D43" t="s">
        <v>10</v>
      </c>
      <c r="E43" t="s">
        <v>11</v>
      </c>
      <c r="H43">
        <f t="shared" si="1"/>
        <v>0</v>
      </c>
    </row>
    <row r="44" spans="1:8" x14ac:dyDescent="0.2">
      <c r="A44" s="1">
        <v>46167</v>
      </c>
      <c r="B44" t="s">
        <v>8</v>
      </c>
      <c r="C44" t="s">
        <v>9</v>
      </c>
      <c r="D44" t="s">
        <v>10</v>
      </c>
      <c r="E44" t="s">
        <v>11</v>
      </c>
      <c r="H44">
        <f t="shared" si="1"/>
        <v>0</v>
      </c>
    </row>
    <row r="45" spans="1:8" x14ac:dyDescent="0.2">
      <c r="A45" s="1">
        <v>46168</v>
      </c>
      <c r="B45" t="s">
        <v>12</v>
      </c>
      <c r="C45" t="s">
        <v>9</v>
      </c>
      <c r="D45" t="s">
        <v>10</v>
      </c>
      <c r="E45" t="s">
        <v>11</v>
      </c>
      <c r="H45">
        <f t="shared" si="1"/>
        <v>0</v>
      </c>
    </row>
    <row r="46" spans="1:8" x14ac:dyDescent="0.2">
      <c r="A46" s="1">
        <v>46169</v>
      </c>
      <c r="B46" t="s">
        <v>13</v>
      </c>
      <c r="C46" t="s">
        <v>9</v>
      </c>
      <c r="D46" t="s">
        <v>10</v>
      </c>
      <c r="E46" t="s">
        <v>11</v>
      </c>
      <c r="H46">
        <f t="shared" si="1"/>
        <v>0</v>
      </c>
    </row>
    <row r="47" spans="1:8" x14ac:dyDescent="0.2">
      <c r="A47" s="1">
        <v>46170</v>
      </c>
      <c r="B47" t="s">
        <v>14</v>
      </c>
      <c r="C47" t="s">
        <v>9</v>
      </c>
      <c r="D47" t="s">
        <v>10</v>
      </c>
      <c r="E47" t="s">
        <v>11</v>
      </c>
      <c r="H47">
        <f t="shared" si="1"/>
        <v>0</v>
      </c>
    </row>
    <row r="48" spans="1:8" x14ac:dyDescent="0.2">
      <c r="A48" s="1">
        <v>46171</v>
      </c>
      <c r="B48" t="s">
        <v>15</v>
      </c>
      <c r="C48" t="s">
        <v>9</v>
      </c>
      <c r="D48" t="s">
        <v>10</v>
      </c>
      <c r="E48" t="s">
        <v>11</v>
      </c>
      <c r="H48">
        <f t="shared" si="1"/>
        <v>0</v>
      </c>
    </row>
    <row r="49" spans="1:8" x14ac:dyDescent="0.2">
      <c r="A49" s="1">
        <v>46172</v>
      </c>
      <c r="B49" t="s">
        <v>16</v>
      </c>
      <c r="C49" t="s">
        <v>9</v>
      </c>
      <c r="D49" t="s">
        <v>10</v>
      </c>
      <c r="E49" t="s">
        <v>11</v>
      </c>
      <c r="H49">
        <f t="shared" si="1"/>
        <v>0</v>
      </c>
    </row>
    <row r="50" spans="1:8" x14ac:dyDescent="0.2">
      <c r="A50" s="1">
        <v>46173</v>
      </c>
      <c r="B50" t="s">
        <v>17</v>
      </c>
      <c r="C50" t="s">
        <v>9</v>
      </c>
      <c r="D50" t="s">
        <v>10</v>
      </c>
      <c r="E50" t="s">
        <v>11</v>
      </c>
      <c r="H50">
        <f t="shared" si="1"/>
        <v>0</v>
      </c>
    </row>
    <row r="51" spans="1:8" x14ac:dyDescent="0.2">
      <c r="A51" s="1">
        <v>46174</v>
      </c>
      <c r="B51" t="s">
        <v>8</v>
      </c>
      <c r="C51" t="s">
        <v>9</v>
      </c>
      <c r="D51" t="s">
        <v>10</v>
      </c>
      <c r="E51" t="s">
        <v>11</v>
      </c>
      <c r="H51">
        <f t="shared" si="1"/>
        <v>0</v>
      </c>
    </row>
    <row r="52" spans="1:8" x14ac:dyDescent="0.2">
      <c r="A52" s="1">
        <v>46175</v>
      </c>
      <c r="B52" t="s">
        <v>12</v>
      </c>
      <c r="C52" t="s">
        <v>9</v>
      </c>
      <c r="D52" t="s">
        <v>10</v>
      </c>
      <c r="E52" t="s">
        <v>11</v>
      </c>
      <c r="H52">
        <f t="shared" si="1"/>
        <v>0</v>
      </c>
    </row>
    <row r="53" spans="1:8" x14ac:dyDescent="0.2">
      <c r="A53" s="1">
        <v>46176</v>
      </c>
      <c r="B53" t="s">
        <v>13</v>
      </c>
      <c r="C53" t="s">
        <v>9</v>
      </c>
      <c r="D53" t="s">
        <v>10</v>
      </c>
      <c r="E53" t="s">
        <v>11</v>
      </c>
      <c r="H53">
        <f t="shared" si="1"/>
        <v>0</v>
      </c>
    </row>
    <row r="54" spans="1:8" x14ac:dyDescent="0.2">
      <c r="A54" s="1">
        <v>46177</v>
      </c>
      <c r="B54" t="s">
        <v>14</v>
      </c>
      <c r="C54" t="s">
        <v>9</v>
      </c>
      <c r="D54" t="s">
        <v>10</v>
      </c>
      <c r="E54" t="s">
        <v>11</v>
      </c>
      <c r="H54">
        <f t="shared" si="1"/>
        <v>0</v>
      </c>
    </row>
    <row r="55" spans="1:8" x14ac:dyDescent="0.2">
      <c r="A55" s="1">
        <v>46178</v>
      </c>
      <c r="B55" t="s">
        <v>15</v>
      </c>
      <c r="C55" t="s">
        <v>9</v>
      </c>
      <c r="D55" t="s">
        <v>10</v>
      </c>
      <c r="E55" t="s">
        <v>11</v>
      </c>
      <c r="H55">
        <f t="shared" si="1"/>
        <v>0</v>
      </c>
    </row>
    <row r="56" spans="1:8" x14ac:dyDescent="0.2">
      <c r="A56" s="1">
        <v>46179</v>
      </c>
      <c r="B56" t="s">
        <v>16</v>
      </c>
      <c r="C56" t="s">
        <v>9</v>
      </c>
      <c r="D56" t="s">
        <v>10</v>
      </c>
      <c r="E56" t="s">
        <v>11</v>
      </c>
      <c r="H56">
        <f t="shared" si="1"/>
        <v>0</v>
      </c>
    </row>
    <row r="57" spans="1:8" x14ac:dyDescent="0.2">
      <c r="A57" s="1">
        <v>46180</v>
      </c>
      <c r="B57" t="s">
        <v>17</v>
      </c>
      <c r="C57" t="s">
        <v>9</v>
      </c>
      <c r="D57" t="s">
        <v>10</v>
      </c>
      <c r="E57" t="s">
        <v>11</v>
      </c>
      <c r="H57">
        <f t="shared" si="1"/>
        <v>0</v>
      </c>
    </row>
    <row r="58" spans="1:8" x14ac:dyDescent="0.2">
      <c r="A58" s="1">
        <v>46181</v>
      </c>
      <c r="B58" t="s">
        <v>8</v>
      </c>
      <c r="C58" t="s">
        <v>9</v>
      </c>
      <c r="D58" t="s">
        <v>10</v>
      </c>
      <c r="E58" t="s">
        <v>11</v>
      </c>
      <c r="H58">
        <f t="shared" si="1"/>
        <v>0</v>
      </c>
    </row>
    <row r="59" spans="1:8" x14ac:dyDescent="0.2">
      <c r="A59" s="1">
        <v>46182</v>
      </c>
      <c r="B59" t="s">
        <v>12</v>
      </c>
      <c r="C59" t="s">
        <v>9</v>
      </c>
      <c r="D59" t="s">
        <v>10</v>
      </c>
      <c r="E59" t="s">
        <v>11</v>
      </c>
      <c r="H59">
        <f t="shared" si="1"/>
        <v>0</v>
      </c>
    </row>
    <row r="60" spans="1:8" x14ac:dyDescent="0.2">
      <c r="A60" s="1">
        <v>46183</v>
      </c>
      <c r="B60" t="s">
        <v>13</v>
      </c>
      <c r="C60" t="s">
        <v>9</v>
      </c>
      <c r="D60" t="s">
        <v>10</v>
      </c>
      <c r="E60" t="s">
        <v>11</v>
      </c>
      <c r="H60">
        <f t="shared" si="1"/>
        <v>0</v>
      </c>
    </row>
    <row r="61" spans="1:8" x14ac:dyDescent="0.2">
      <c r="A61" s="1">
        <v>46184</v>
      </c>
      <c r="B61" t="s">
        <v>14</v>
      </c>
      <c r="C61" t="s">
        <v>9</v>
      </c>
      <c r="D61" t="s">
        <v>10</v>
      </c>
      <c r="E61" t="s">
        <v>11</v>
      </c>
      <c r="H61">
        <f t="shared" si="1"/>
        <v>0</v>
      </c>
    </row>
    <row r="62" spans="1:8" x14ac:dyDescent="0.2">
      <c r="A62" s="1">
        <v>46185</v>
      </c>
      <c r="B62" t="s">
        <v>15</v>
      </c>
      <c r="C62" t="s">
        <v>9</v>
      </c>
      <c r="D62" t="s">
        <v>10</v>
      </c>
      <c r="E62" t="s">
        <v>11</v>
      </c>
      <c r="H62">
        <f t="shared" si="1"/>
        <v>0</v>
      </c>
    </row>
    <row r="63" spans="1:8" x14ac:dyDescent="0.2">
      <c r="A63" s="1">
        <v>46186</v>
      </c>
      <c r="B63" t="s">
        <v>16</v>
      </c>
      <c r="C63" t="s">
        <v>9</v>
      </c>
      <c r="D63" t="s">
        <v>10</v>
      </c>
      <c r="E63" t="s">
        <v>11</v>
      </c>
      <c r="H63">
        <f t="shared" si="1"/>
        <v>0</v>
      </c>
    </row>
    <row r="64" spans="1:8" x14ac:dyDescent="0.2">
      <c r="A64" s="1">
        <v>46187</v>
      </c>
      <c r="B64" t="s">
        <v>17</v>
      </c>
      <c r="C64" t="s">
        <v>9</v>
      </c>
      <c r="D64" t="s">
        <v>10</v>
      </c>
      <c r="E64" t="s">
        <v>11</v>
      </c>
      <c r="H64">
        <f t="shared" si="1"/>
        <v>0</v>
      </c>
    </row>
    <row r="65" spans="1:8" x14ac:dyDescent="0.2">
      <c r="A65" s="1">
        <v>46188</v>
      </c>
      <c r="B65" t="s">
        <v>8</v>
      </c>
      <c r="C65" t="s">
        <v>9</v>
      </c>
      <c r="D65" t="s">
        <v>10</v>
      </c>
      <c r="E65" t="s">
        <v>11</v>
      </c>
      <c r="H65">
        <f t="shared" si="1"/>
        <v>0</v>
      </c>
    </row>
    <row r="66" spans="1:8" x14ac:dyDescent="0.2">
      <c r="A66" s="1">
        <v>46189</v>
      </c>
      <c r="B66" t="s">
        <v>12</v>
      </c>
      <c r="C66" t="s">
        <v>9</v>
      </c>
      <c r="D66" t="s">
        <v>10</v>
      </c>
      <c r="E66" t="s">
        <v>11</v>
      </c>
      <c r="H66">
        <f t="shared" ref="H66:H91" si="2">IF(G66="✔",100,0)</f>
        <v>0</v>
      </c>
    </row>
    <row r="67" spans="1:8" x14ac:dyDescent="0.2">
      <c r="A67" s="1">
        <v>46190</v>
      </c>
      <c r="B67" t="s">
        <v>13</v>
      </c>
      <c r="C67" t="s">
        <v>9</v>
      </c>
      <c r="D67" t="s">
        <v>10</v>
      </c>
      <c r="E67" t="s">
        <v>11</v>
      </c>
      <c r="H67">
        <f t="shared" si="2"/>
        <v>0</v>
      </c>
    </row>
    <row r="68" spans="1:8" x14ac:dyDescent="0.2">
      <c r="A68" s="1">
        <v>46191</v>
      </c>
      <c r="B68" t="s">
        <v>14</v>
      </c>
      <c r="C68" t="s">
        <v>9</v>
      </c>
      <c r="D68" t="s">
        <v>10</v>
      </c>
      <c r="E68" t="s">
        <v>11</v>
      </c>
      <c r="H68">
        <f t="shared" si="2"/>
        <v>0</v>
      </c>
    </row>
    <row r="69" spans="1:8" x14ac:dyDescent="0.2">
      <c r="A69" s="1">
        <v>46192</v>
      </c>
      <c r="B69" t="s">
        <v>15</v>
      </c>
      <c r="C69" t="s">
        <v>9</v>
      </c>
      <c r="D69" t="s">
        <v>10</v>
      </c>
      <c r="E69" t="s">
        <v>11</v>
      </c>
      <c r="H69">
        <f t="shared" si="2"/>
        <v>0</v>
      </c>
    </row>
    <row r="70" spans="1:8" x14ac:dyDescent="0.2">
      <c r="A70" s="1">
        <v>46193</v>
      </c>
      <c r="B70" t="s">
        <v>16</v>
      </c>
      <c r="C70" t="s">
        <v>9</v>
      </c>
      <c r="D70" t="s">
        <v>10</v>
      </c>
      <c r="E70" t="s">
        <v>11</v>
      </c>
      <c r="H70">
        <f t="shared" si="2"/>
        <v>0</v>
      </c>
    </row>
    <row r="71" spans="1:8" x14ac:dyDescent="0.2">
      <c r="A71" s="1">
        <v>46194</v>
      </c>
      <c r="B71" t="s">
        <v>17</v>
      </c>
      <c r="C71" t="s">
        <v>9</v>
      </c>
      <c r="D71" t="s">
        <v>10</v>
      </c>
      <c r="E71" t="s">
        <v>11</v>
      </c>
      <c r="H71">
        <f t="shared" si="2"/>
        <v>0</v>
      </c>
    </row>
    <row r="72" spans="1:8" x14ac:dyDescent="0.2">
      <c r="A72" s="1">
        <v>46195</v>
      </c>
      <c r="B72" t="s">
        <v>8</v>
      </c>
      <c r="C72" t="s">
        <v>9</v>
      </c>
      <c r="D72" t="s">
        <v>10</v>
      </c>
      <c r="E72" t="s">
        <v>11</v>
      </c>
      <c r="H72">
        <f t="shared" si="2"/>
        <v>0</v>
      </c>
    </row>
    <row r="73" spans="1:8" x14ac:dyDescent="0.2">
      <c r="A73" s="1">
        <v>46196</v>
      </c>
      <c r="B73" t="s">
        <v>12</v>
      </c>
      <c r="C73" t="s">
        <v>9</v>
      </c>
      <c r="D73" t="s">
        <v>10</v>
      </c>
      <c r="E73" t="s">
        <v>11</v>
      </c>
      <c r="H73">
        <f t="shared" si="2"/>
        <v>0</v>
      </c>
    </row>
    <row r="74" spans="1:8" x14ac:dyDescent="0.2">
      <c r="A74" s="1">
        <v>46197</v>
      </c>
      <c r="B74" t="s">
        <v>13</v>
      </c>
      <c r="C74" t="s">
        <v>9</v>
      </c>
      <c r="D74" t="s">
        <v>10</v>
      </c>
      <c r="E74" t="s">
        <v>11</v>
      </c>
      <c r="H74">
        <f t="shared" si="2"/>
        <v>0</v>
      </c>
    </row>
    <row r="75" spans="1:8" x14ac:dyDescent="0.2">
      <c r="A75" s="1">
        <v>46198</v>
      </c>
      <c r="B75" t="s">
        <v>14</v>
      </c>
      <c r="C75" t="s">
        <v>9</v>
      </c>
      <c r="D75" t="s">
        <v>10</v>
      </c>
      <c r="E75" t="s">
        <v>11</v>
      </c>
      <c r="H75">
        <f t="shared" si="2"/>
        <v>0</v>
      </c>
    </row>
    <row r="76" spans="1:8" x14ac:dyDescent="0.2">
      <c r="A76" s="1">
        <v>46199</v>
      </c>
      <c r="B76" t="s">
        <v>15</v>
      </c>
      <c r="C76" t="s">
        <v>9</v>
      </c>
      <c r="D76" t="s">
        <v>10</v>
      </c>
      <c r="E76" t="s">
        <v>11</v>
      </c>
      <c r="H76">
        <f t="shared" si="2"/>
        <v>0</v>
      </c>
    </row>
    <row r="77" spans="1:8" x14ac:dyDescent="0.2">
      <c r="A77" s="1">
        <v>46200</v>
      </c>
      <c r="B77" t="s">
        <v>16</v>
      </c>
      <c r="C77" t="s">
        <v>9</v>
      </c>
      <c r="D77" t="s">
        <v>10</v>
      </c>
      <c r="E77" t="s">
        <v>11</v>
      </c>
      <c r="H77">
        <f t="shared" si="2"/>
        <v>0</v>
      </c>
    </row>
    <row r="78" spans="1:8" x14ac:dyDescent="0.2">
      <c r="A78" s="1">
        <v>46201</v>
      </c>
      <c r="B78" t="s">
        <v>17</v>
      </c>
      <c r="C78" t="s">
        <v>9</v>
      </c>
      <c r="D78" t="s">
        <v>10</v>
      </c>
      <c r="E78" t="s">
        <v>11</v>
      </c>
      <c r="H78">
        <f t="shared" si="2"/>
        <v>0</v>
      </c>
    </row>
    <row r="79" spans="1:8" x14ac:dyDescent="0.2">
      <c r="A79" s="1">
        <v>46202</v>
      </c>
      <c r="B79" t="s">
        <v>8</v>
      </c>
      <c r="C79" t="s">
        <v>9</v>
      </c>
      <c r="D79" t="s">
        <v>10</v>
      </c>
      <c r="E79" t="s">
        <v>11</v>
      </c>
      <c r="H79">
        <f t="shared" si="2"/>
        <v>0</v>
      </c>
    </row>
    <row r="80" spans="1:8" x14ac:dyDescent="0.2">
      <c r="A80" s="1">
        <v>46203</v>
      </c>
      <c r="B80" t="s">
        <v>12</v>
      </c>
      <c r="C80" t="s">
        <v>9</v>
      </c>
      <c r="D80" t="s">
        <v>10</v>
      </c>
      <c r="E80" t="s">
        <v>11</v>
      </c>
      <c r="H80">
        <f t="shared" si="2"/>
        <v>0</v>
      </c>
    </row>
    <row r="81" spans="1:8" x14ac:dyDescent="0.2">
      <c r="A81" s="1">
        <v>46204</v>
      </c>
      <c r="B81" t="s">
        <v>13</v>
      </c>
      <c r="C81" t="s">
        <v>9</v>
      </c>
      <c r="D81" t="s">
        <v>10</v>
      </c>
      <c r="E81" t="s">
        <v>11</v>
      </c>
      <c r="H81">
        <f t="shared" si="2"/>
        <v>0</v>
      </c>
    </row>
    <row r="82" spans="1:8" x14ac:dyDescent="0.2">
      <c r="A82" s="1">
        <v>46205</v>
      </c>
      <c r="B82" t="s">
        <v>14</v>
      </c>
      <c r="C82" t="s">
        <v>9</v>
      </c>
      <c r="D82" t="s">
        <v>10</v>
      </c>
      <c r="E82" t="s">
        <v>11</v>
      </c>
      <c r="H82">
        <f t="shared" si="2"/>
        <v>0</v>
      </c>
    </row>
    <row r="83" spans="1:8" x14ac:dyDescent="0.2">
      <c r="A83" s="1">
        <v>46206</v>
      </c>
      <c r="B83" t="s">
        <v>15</v>
      </c>
      <c r="C83" t="s">
        <v>9</v>
      </c>
      <c r="D83" t="s">
        <v>10</v>
      </c>
      <c r="E83" t="s">
        <v>11</v>
      </c>
      <c r="H83">
        <f t="shared" si="2"/>
        <v>0</v>
      </c>
    </row>
    <row r="84" spans="1:8" x14ac:dyDescent="0.2">
      <c r="A84" s="1">
        <v>46207</v>
      </c>
      <c r="B84" t="s">
        <v>16</v>
      </c>
      <c r="C84" t="s">
        <v>9</v>
      </c>
      <c r="D84" t="s">
        <v>10</v>
      </c>
      <c r="E84" t="s">
        <v>11</v>
      </c>
      <c r="H84">
        <f t="shared" si="2"/>
        <v>0</v>
      </c>
    </row>
    <row r="85" spans="1:8" x14ac:dyDescent="0.2">
      <c r="A85" s="1">
        <v>46208</v>
      </c>
      <c r="B85" t="s">
        <v>17</v>
      </c>
      <c r="C85" t="s">
        <v>9</v>
      </c>
      <c r="D85" t="s">
        <v>10</v>
      </c>
      <c r="E85" t="s">
        <v>11</v>
      </c>
      <c r="H85">
        <f t="shared" si="2"/>
        <v>0</v>
      </c>
    </row>
    <row r="86" spans="1:8" x14ac:dyDescent="0.2">
      <c r="A86" s="1">
        <v>46209</v>
      </c>
      <c r="B86" t="s">
        <v>8</v>
      </c>
      <c r="C86" t="s">
        <v>9</v>
      </c>
      <c r="D86" t="s">
        <v>10</v>
      </c>
      <c r="E86" t="s">
        <v>11</v>
      </c>
      <c r="H86">
        <f t="shared" si="2"/>
        <v>0</v>
      </c>
    </row>
    <row r="87" spans="1:8" x14ac:dyDescent="0.2">
      <c r="A87" s="1">
        <v>46210</v>
      </c>
      <c r="B87" t="s">
        <v>12</v>
      </c>
      <c r="C87" t="s">
        <v>9</v>
      </c>
      <c r="D87" t="s">
        <v>10</v>
      </c>
      <c r="E87" t="s">
        <v>11</v>
      </c>
      <c r="H87">
        <f t="shared" si="2"/>
        <v>0</v>
      </c>
    </row>
    <row r="88" spans="1:8" x14ac:dyDescent="0.2">
      <c r="A88" s="1">
        <v>46211</v>
      </c>
      <c r="B88" t="s">
        <v>13</v>
      </c>
      <c r="C88" t="s">
        <v>9</v>
      </c>
      <c r="D88" t="s">
        <v>10</v>
      </c>
      <c r="E88" t="s">
        <v>11</v>
      </c>
      <c r="H88">
        <f t="shared" si="2"/>
        <v>0</v>
      </c>
    </row>
    <row r="89" spans="1:8" x14ac:dyDescent="0.2">
      <c r="A89" s="1">
        <v>46212</v>
      </c>
      <c r="B89" t="s">
        <v>14</v>
      </c>
      <c r="C89" t="s">
        <v>9</v>
      </c>
      <c r="D89" t="s">
        <v>10</v>
      </c>
      <c r="E89" t="s">
        <v>11</v>
      </c>
      <c r="H89">
        <f t="shared" si="2"/>
        <v>0</v>
      </c>
    </row>
    <row r="90" spans="1:8" x14ac:dyDescent="0.2">
      <c r="A90" s="1">
        <v>46213</v>
      </c>
      <c r="B90" t="s">
        <v>15</v>
      </c>
      <c r="C90" t="s">
        <v>9</v>
      </c>
      <c r="D90" t="s">
        <v>10</v>
      </c>
      <c r="E90" t="s">
        <v>11</v>
      </c>
      <c r="H90">
        <f t="shared" si="2"/>
        <v>0</v>
      </c>
    </row>
    <row r="91" spans="1:8" x14ac:dyDescent="0.2">
      <c r="A91" s="1">
        <v>46214</v>
      </c>
      <c r="B91" t="s">
        <v>16</v>
      </c>
      <c r="C91" t="s">
        <v>9</v>
      </c>
      <c r="D91" t="s">
        <v>10</v>
      </c>
      <c r="E91" t="s">
        <v>11</v>
      </c>
      <c r="H91">
        <f t="shared" si="2"/>
        <v>0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defaultRowHeight="13.2" x14ac:dyDescent="0.2"/>
  <cols>
    <col min="3" max="3" width="13.33203125" bestFit="1" customWidth="1"/>
    <col min="5" max="5" width="15.5546875" bestFit="1" customWidth="1"/>
    <col min="6" max="6" width="12.21875" bestFit="1" customWidth="1"/>
    <col min="7" max="8" width="11.5546875" bestFit="1" customWidth="1"/>
    <col min="9" max="9" width="12.6640625" bestFit="1" customWidth="1"/>
  </cols>
  <sheetData>
    <row r="1" spans="1:9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82</v>
      </c>
      <c r="G1" t="s">
        <v>23</v>
      </c>
      <c r="H1" t="s">
        <v>24</v>
      </c>
      <c r="I1" t="s">
        <v>25</v>
      </c>
    </row>
    <row r="2" spans="1:9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81</v>
      </c>
      <c r="G2">
        <f ca="1">TODAY()+1</f>
        <v>46122</v>
      </c>
      <c r="H2">
        <f ca="1">TODAY()+7</f>
        <v>46128</v>
      </c>
      <c r="I2">
        <f ca="1">TODAY()+14</f>
        <v>46135</v>
      </c>
    </row>
    <row r="3" spans="1:9" x14ac:dyDescent="0.2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81</v>
      </c>
      <c r="G3">
        <f ca="1">TODAY()+1</f>
        <v>46122</v>
      </c>
      <c r="H3">
        <f ca="1">TODAY()+7</f>
        <v>46128</v>
      </c>
      <c r="I3">
        <f ca="1">TODAY()+14</f>
        <v>46135</v>
      </c>
    </row>
    <row r="4" spans="1:9" x14ac:dyDescent="0.2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81</v>
      </c>
      <c r="G4">
        <f ca="1">TODAY()+1</f>
        <v>46122</v>
      </c>
      <c r="H4">
        <f ca="1">TODAY()+7</f>
        <v>46128</v>
      </c>
      <c r="I4">
        <f ca="1">TODAY()+14</f>
        <v>46135</v>
      </c>
    </row>
    <row r="5" spans="1:9" x14ac:dyDescent="0.2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81</v>
      </c>
      <c r="G5">
        <f ca="1">TODAY()+1</f>
        <v>46122</v>
      </c>
      <c r="H5">
        <f ca="1">TODAY()+7</f>
        <v>46128</v>
      </c>
      <c r="I5">
        <f ca="1">TODAY()+14</f>
        <v>46135</v>
      </c>
    </row>
    <row r="6" spans="1:9" x14ac:dyDescent="0.2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81</v>
      </c>
      <c r="G6">
        <f ca="1">TODAY()+1</f>
        <v>46122</v>
      </c>
      <c r="H6">
        <f ca="1">TODAY()+7</f>
        <v>46128</v>
      </c>
      <c r="I6">
        <f ca="1">TODAY()+14</f>
        <v>46135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3.2" x14ac:dyDescent="0.2"/>
  <cols>
    <col min="2" max="2" width="15.33203125" bestFit="1" customWidth="1"/>
    <col min="3" max="3" width="14.44140625" bestFit="1" customWidth="1"/>
    <col min="4" max="4" width="21.44140625" bestFit="1" customWidth="1"/>
    <col min="5" max="5" width="13.109375" bestFit="1" customWidth="1"/>
  </cols>
  <sheetData>
    <row r="1" spans="1:5" x14ac:dyDescent="0.2">
      <c r="A1" t="s">
        <v>51</v>
      </c>
      <c r="B1" t="s">
        <v>52</v>
      </c>
      <c r="C1" t="s">
        <v>21</v>
      </c>
      <c r="D1" t="s">
        <v>22</v>
      </c>
      <c r="E1" t="s">
        <v>53</v>
      </c>
    </row>
    <row r="2" spans="1:5" x14ac:dyDescent="0.2">
      <c r="A2" t="s">
        <v>54</v>
      </c>
      <c r="B2" t="s">
        <v>55</v>
      </c>
      <c r="C2" t="s">
        <v>56</v>
      </c>
      <c r="D2" t="s">
        <v>57</v>
      </c>
      <c r="E2" t="s">
        <v>81</v>
      </c>
    </row>
    <row r="3" spans="1:5" x14ac:dyDescent="0.2">
      <c r="A3" t="s">
        <v>58</v>
      </c>
      <c r="B3" t="s">
        <v>59</v>
      </c>
      <c r="C3" t="s">
        <v>60</v>
      </c>
      <c r="D3" t="s">
        <v>61</v>
      </c>
      <c r="E3" t="s">
        <v>81</v>
      </c>
    </row>
    <row r="4" spans="1:5" x14ac:dyDescent="0.2">
      <c r="A4" t="s">
        <v>62</v>
      </c>
      <c r="B4" t="s">
        <v>63</v>
      </c>
      <c r="C4" t="s">
        <v>64</v>
      </c>
      <c r="D4" t="s">
        <v>65</v>
      </c>
      <c r="E4" t="s">
        <v>81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tabSelected="1" workbookViewId="0"/>
  </sheetViews>
  <sheetFormatPr defaultRowHeight="13.2" x14ac:dyDescent="0.2"/>
  <sheetData>
    <row r="1" spans="1:2" x14ac:dyDescent="0.2">
      <c r="A1" t="s">
        <v>66</v>
      </c>
      <c r="B1" t="s">
        <v>6</v>
      </c>
    </row>
    <row r="2" spans="1:2" x14ac:dyDescent="0.2">
      <c r="A2" t="s">
        <v>67</v>
      </c>
      <c r="B2">
        <f>AVERAGE(StudyPlan!H2:'StudyPlan'!H8)</f>
        <v>0</v>
      </c>
    </row>
    <row r="3" spans="1:2" x14ac:dyDescent="0.2">
      <c r="A3" t="s">
        <v>68</v>
      </c>
      <c r="B3">
        <f>AVERAGE(StudyPlan!H9:'StudyPlan'!H15)</f>
        <v>0</v>
      </c>
    </row>
    <row r="4" spans="1:2" x14ac:dyDescent="0.2">
      <c r="A4" t="s">
        <v>69</v>
      </c>
      <c r="B4">
        <f>AVERAGE(StudyPlan!H16:'StudyPlan'!H22)</f>
        <v>0</v>
      </c>
    </row>
    <row r="5" spans="1:2" x14ac:dyDescent="0.2">
      <c r="A5" t="s">
        <v>70</v>
      </c>
      <c r="B5">
        <f>AVERAGE(StudyPlan!H23:'StudyPlan'!H29)</f>
        <v>0</v>
      </c>
    </row>
    <row r="6" spans="1:2" x14ac:dyDescent="0.2">
      <c r="A6" t="s">
        <v>71</v>
      </c>
      <c r="B6">
        <f>AVERAGE(StudyPlan!H30:'StudyPlan'!H36)</f>
        <v>0</v>
      </c>
    </row>
    <row r="7" spans="1:2" x14ac:dyDescent="0.2">
      <c r="A7" t="s">
        <v>72</v>
      </c>
      <c r="B7">
        <f>AVERAGE(StudyPlan!H37:'StudyPlan'!H43)</f>
        <v>0</v>
      </c>
    </row>
    <row r="8" spans="1:2" x14ac:dyDescent="0.2">
      <c r="A8" t="s">
        <v>73</v>
      </c>
      <c r="B8">
        <f>AVERAGE(StudyPlan!H44:'StudyPlan'!H50)</f>
        <v>0</v>
      </c>
    </row>
    <row r="9" spans="1:2" x14ac:dyDescent="0.2">
      <c r="A9" t="s">
        <v>74</v>
      </c>
      <c r="B9">
        <f>AVERAGE(StudyPlan!H51:'StudyPlan'!H57)</f>
        <v>0</v>
      </c>
    </row>
    <row r="10" spans="1:2" x14ac:dyDescent="0.2">
      <c r="A10" t="s">
        <v>75</v>
      </c>
      <c r="B10">
        <f>AVERAGE(StudyPlan!H58:'StudyPlan'!H64)</f>
        <v>0</v>
      </c>
    </row>
    <row r="11" spans="1:2" x14ac:dyDescent="0.2">
      <c r="A11" t="s">
        <v>76</v>
      </c>
      <c r="B11">
        <f>AVERAGE(StudyPlan!H65:'StudyPlan'!H71)</f>
        <v>0</v>
      </c>
    </row>
    <row r="12" spans="1:2" x14ac:dyDescent="0.2">
      <c r="A12" t="s">
        <v>77</v>
      </c>
      <c r="B12">
        <f>AVERAGE(StudyPlan!H72:'StudyPlan'!H78)</f>
        <v>0</v>
      </c>
    </row>
    <row r="13" spans="1:2" x14ac:dyDescent="0.2">
      <c r="A13" t="s">
        <v>78</v>
      </c>
      <c r="B13">
        <f>AVERAGE(StudyPlan!H79:'StudyPlan'!H85)</f>
        <v>0</v>
      </c>
    </row>
    <row r="14" spans="1:2" x14ac:dyDescent="0.2">
      <c r="A14" t="s">
        <v>79</v>
      </c>
      <c r="B14">
        <f>AVERAGE(StudyPlan!H86:'StudyPlan'!H92)</f>
        <v>0</v>
      </c>
    </row>
  </sheetData>
  <phoneticPr fontId="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StudyPlan</vt:lpstr>
      <vt:lpstr>Vocabulary</vt:lpstr>
      <vt:lpstr>Grammar</vt:lpstr>
      <vt:lpstr>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CING HAUSIAN(SBD)</cp:lastModifiedBy>
  <dcterms:created xsi:type="dcterms:W3CDTF">2026-04-09T06:18:36Z</dcterms:created>
  <dcterms:modified xsi:type="dcterms:W3CDTF">2026-04-09T08:51:06Z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591c11-d1d1-4308-8bc2-d416a08e58f2_Enabled">
    <vt:lpwstr>true</vt:lpwstr>
  </property>
  <property fmtid="{D5CDD505-2E9C-101B-9397-08002B2CF9AE}" pid="3" name="MSIP_Label_4d591c11-d1d1-4308-8bc2-d416a08e58f2_SetDate">
    <vt:lpwstr>2026-04-09T06:25:36Z</vt:lpwstr>
  </property>
  <property fmtid="{D5CDD505-2E9C-101B-9397-08002B2CF9AE}" pid="4" name="MSIP_Label_4d591c11-d1d1-4308-8bc2-d416a08e58f2_Method">
    <vt:lpwstr>Standard</vt:lpwstr>
  </property>
  <property fmtid="{D5CDD505-2E9C-101B-9397-08002B2CF9AE}" pid="5" name="MSIP_Label_4d591c11-d1d1-4308-8bc2-d416a08e58f2_Name">
    <vt:lpwstr>Internal</vt:lpwstr>
  </property>
  <property fmtid="{D5CDD505-2E9C-101B-9397-08002B2CF9AE}" pid="6" name="MSIP_Label_4d591c11-d1d1-4308-8bc2-d416a08e58f2_SiteId">
    <vt:lpwstr>18872657-15e1-4db7-a75c-77b60bc5441f</vt:lpwstr>
  </property>
  <property fmtid="{D5CDD505-2E9C-101B-9397-08002B2CF9AE}" pid="7" name="MSIP_Label_4d591c11-d1d1-4308-8bc2-d416a08e58f2_ActionId">
    <vt:lpwstr>6c9ca240-a9b2-4f73-85c9-9c617274d6a8</vt:lpwstr>
  </property>
  <property fmtid="{D5CDD505-2E9C-101B-9397-08002B2CF9AE}" pid="8" name="MSIP_Label_4d591c11-d1d1-4308-8bc2-d416a08e58f2_ContentBits">
    <vt:lpwstr>0</vt:lpwstr>
  </property>
  <property fmtid="{D5CDD505-2E9C-101B-9397-08002B2CF9AE}" pid="9" name="MSIP_Label_4d591c11-d1d1-4308-8bc2-d416a08e58f2_Tag">
    <vt:lpwstr>10, 3, 0, 1</vt:lpwstr>
  </property>
</Properties>
</file>